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b00d8d9430b8f/Desktop/GWU Fall '25/Web Analytics/Group Project/Analytic Files/"/>
    </mc:Choice>
  </mc:AlternateContent>
  <xr:revisionPtr revIDLastSave="5" documentId="8_{53AB8718-EAEC-4D41-957D-0FD8EA4AAF2D}" xr6:coauthVersionLast="47" xr6:coauthVersionMax="47" xr10:uidLastSave="{30133C78-E858-8A43-ABE3-67E3388F85F5}"/>
  <bookViews>
    <workbookView xWindow="0" yWindow="0" windowWidth="28800" windowHeight="18000" xr2:uid="{AE51A692-442C-456A-9C26-C79FA0CDC129}"/>
  </bookViews>
  <sheets>
    <sheet name="Customer Churn 1" sheetId="1" r:id="rId1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J5" i="1"/>
  <c r="J6" i="1"/>
  <c r="J7" i="1"/>
  <c r="J8" i="1"/>
  <c r="J4" i="1"/>
  <c r="I5" i="1"/>
  <c r="I6" i="1"/>
  <c r="I7" i="1"/>
  <c r="I8" i="1"/>
  <c r="I4" i="1"/>
  <c r="H5" i="1"/>
  <c r="H6" i="1"/>
  <c r="H7" i="1"/>
  <c r="H8" i="1"/>
  <c r="H4" i="1"/>
  <c r="G3" i="1"/>
  <c r="F8" i="1"/>
  <c r="F7" i="1"/>
  <c r="F6" i="1"/>
  <c r="F5" i="1"/>
  <c r="F4" i="1"/>
  <c r="G8" i="1"/>
  <c r="G7" i="1"/>
  <c r="G6" i="1"/>
  <c r="G5" i="1"/>
  <c r="G4" i="1"/>
  <c r="F3" i="1"/>
  <c r="C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</calcChain>
</file>

<file path=xl/sharedStrings.xml><?xml version="1.0" encoding="utf-8"?>
<sst xmlns="http://schemas.openxmlformats.org/spreadsheetml/2006/main" count="22" uniqueCount="17">
  <si>
    <t>HubSpot</t>
  </si>
  <si>
    <t>Year</t>
  </si>
  <si>
    <t>Revenue Churn</t>
  </si>
  <si>
    <t>ARPU</t>
  </si>
  <si>
    <t>ARPU Growth Rate</t>
  </si>
  <si>
    <t>Active Customers</t>
  </si>
  <si>
    <t>https://www.annualreports.com/HostedData/AnnualReportArchive/h/NYSE_HUBS_2021.pdf</t>
  </si>
  <si>
    <t>BASELINE</t>
  </si>
  <si>
    <t>Customer Churn Rate</t>
  </si>
  <si>
    <t>Potential Customers</t>
  </si>
  <si>
    <t>Scaler</t>
  </si>
  <si>
    <t>Lost Customers</t>
  </si>
  <si>
    <t>Potential Subscription Revenue</t>
  </si>
  <si>
    <t>Lost Revenue</t>
  </si>
  <si>
    <t>2025 (Forecasted)</t>
  </si>
  <si>
    <t>Subscription Revenue</t>
  </si>
  <si>
    <t>2020 and 2021 Subscription Revenue obtained from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</si>
</sst>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5" fillId="0" borderId="0" xfId="4"/>
    <xf numFmtId="164" fontId="0" fillId="0" borderId="0" xfId="3" applyNumberFormat="1" applyFont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166" fontId="0" fillId="0" borderId="1" xfId="1" applyNumberFormat="1" applyFont="1" applyBorder="1"/>
    <xf numFmtId="166" fontId="0" fillId="0" borderId="1" xfId="0" applyNumberFormat="1" applyBorder="1"/>
    <xf numFmtId="44" fontId="0" fillId="0" borderId="1" xfId="2" applyFont="1" applyBorder="1"/>
    <xf numFmtId="44" fontId="0" fillId="0" borderId="1" xfId="0" applyNumberFormat="1" applyBorder="1"/>
    <xf numFmtId="0" fontId="2" fillId="3" borderId="1" xfId="0" applyFont="1" applyFill="1" applyBorder="1"/>
    <xf numFmtId="0" fontId="2" fillId="2" borderId="1" xfId="0" applyFont="1" applyFill="1" applyBorder="1"/>
    <xf numFmtId="0" fontId="4" fillId="0" borderId="1" xfId="0" applyFont="1" applyBorder="1"/>
    <xf numFmtId="10" fontId="0" fillId="0" borderId="1" xfId="3" applyNumberFormat="1" applyFont="1" applyBorder="1"/>
    <xf numFmtId="164" fontId="0" fillId="0" borderId="1" xfId="3" applyNumberFormat="1" applyFont="1" applyBorder="1"/>
    <xf numFmtId="165" fontId="0" fillId="0" borderId="1" xfId="2" applyNumberFormat="1" applyFont="1" applyBorder="1"/>
    <xf numFmtId="0" fontId="4" fillId="7" borderId="1" xfId="0" applyFont="1" applyFill="1" applyBorder="1" applyAlignment="1">
      <alignment wrapText="1"/>
    </xf>
    <xf numFmtId="10" fontId="0" fillId="7" borderId="1" xfId="3" applyNumberFormat="1" applyFont="1" applyFill="1" applyBorder="1"/>
    <xf numFmtId="44" fontId="0" fillId="7" borderId="1" xfId="2" applyFont="1" applyFill="1" applyBorder="1"/>
    <xf numFmtId="164" fontId="0" fillId="7" borderId="1" xfId="3" applyNumberFormat="1" applyFont="1" applyFill="1" applyBorder="1"/>
    <xf numFmtId="166" fontId="0" fillId="7" borderId="1" xfId="1" applyNumberFormat="1" applyFont="1" applyFill="1" applyBorder="1"/>
    <xf numFmtId="165" fontId="0" fillId="7" borderId="1" xfId="2" applyNumberFormat="1" applyFont="1" applyFill="1" applyBorder="1"/>
    <xf numFmtId="166" fontId="0" fillId="7" borderId="1" xfId="0" applyNumberFormat="1" applyFill="1" applyBorder="1"/>
    <xf numFmtId="165" fontId="1" fillId="0" borderId="1" xfId="2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4" fontId="0" fillId="7" borderId="1" xfId="0" applyNumberFormat="1" applyFill="1" applyBorder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nualreports.com/HostedData/AnnualReportArchive/h/NYSE_HUBS_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B710-50DA-485A-9463-412AB088CCC1}">
  <dimension ref="A1:K12"/>
  <sheetViews>
    <sheetView tabSelected="1" zoomScale="89" zoomScaleNormal="89" workbookViewId="0">
      <selection activeCell="H15" sqref="H15"/>
    </sheetView>
  </sheetViews>
  <sheetFormatPr baseColWidth="10" defaultColWidth="8.83203125" defaultRowHeight="15" x14ac:dyDescent="0.2"/>
  <cols>
    <col min="1" max="1" width="12.33203125" customWidth="1"/>
    <col min="2" max="2" width="13.1640625" bestFit="1" customWidth="1"/>
    <col min="3" max="3" width="11.1640625" bestFit="1" customWidth="1"/>
    <col min="4" max="4" width="15.83203125" bestFit="1" customWidth="1"/>
    <col min="5" max="5" width="22.5" bestFit="1" customWidth="1"/>
    <col min="6" max="7" width="24.1640625" bestFit="1" customWidth="1"/>
    <col min="8" max="8" width="21.1640625" bestFit="1" customWidth="1"/>
    <col min="9" max="9" width="13.83203125" bestFit="1" customWidth="1"/>
    <col min="10" max="10" width="27.33203125" bestFit="1" customWidth="1"/>
    <col min="11" max="11" width="27" bestFit="1" customWidth="1"/>
    <col min="12" max="12" width="17.5" bestFit="1" customWidth="1"/>
  </cols>
  <sheetData>
    <row r="1" spans="1:11" x14ac:dyDescent="0.2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8</v>
      </c>
      <c r="F2" s="14" t="s">
        <v>5</v>
      </c>
      <c r="G2" s="14" t="s">
        <v>15</v>
      </c>
      <c r="H2" s="6" t="s">
        <v>9</v>
      </c>
      <c r="I2" s="7" t="s">
        <v>11</v>
      </c>
      <c r="J2" s="6" t="s">
        <v>12</v>
      </c>
      <c r="K2" s="7" t="s">
        <v>13</v>
      </c>
    </row>
    <row r="3" spans="1:11" x14ac:dyDescent="0.2">
      <c r="A3" s="15">
        <v>2020</v>
      </c>
      <c r="B3" s="16">
        <v>1.9599999999999999E-2</v>
      </c>
      <c r="C3" s="11">
        <f t="shared" ref="C3:C8" si="0">G3/F3</f>
        <v>8202.3962920937738</v>
      </c>
      <c r="D3" s="8" t="s">
        <v>7</v>
      </c>
      <c r="E3" s="8" t="s">
        <v>7</v>
      </c>
      <c r="F3" s="9">
        <f>(0.000103994)*$J$12</f>
        <v>103994</v>
      </c>
      <c r="G3" s="26">
        <f>(0.853)*J12</f>
        <v>853000000</v>
      </c>
      <c r="H3" s="8" t="s">
        <v>7</v>
      </c>
      <c r="I3" s="8" t="s">
        <v>7</v>
      </c>
      <c r="J3" s="8" t="s">
        <v>7</v>
      </c>
      <c r="K3" s="8" t="s">
        <v>7</v>
      </c>
    </row>
    <row r="4" spans="1:11" x14ac:dyDescent="0.2">
      <c r="A4" s="15">
        <v>2021</v>
      </c>
      <c r="B4" s="16">
        <v>0.13039999999999999</v>
      </c>
      <c r="C4" s="11">
        <f t="shared" si="0"/>
        <v>9302.8750313787459</v>
      </c>
      <c r="D4" s="17">
        <f>($C4-$C3)/$C3</f>
        <v>0.1341655170143041</v>
      </c>
      <c r="E4" s="16">
        <f>1-(1-$B4)/(1+$D4)</f>
        <v>0.23326887746576352</v>
      </c>
      <c r="F4" s="9">
        <f>0.000135442*J12</f>
        <v>135442</v>
      </c>
      <c r="G4" s="26">
        <f>1.26*J12</f>
        <v>1260000000</v>
      </c>
      <c r="H4" s="9">
        <f>$F4/(1-$E4)</f>
        <v>176648.62690369293</v>
      </c>
      <c r="I4" s="10">
        <f>H4-F4</f>
        <v>41206.62690369293</v>
      </c>
      <c r="J4" s="11">
        <f>$H4*$C4</f>
        <v>1643340100.5497048</v>
      </c>
      <c r="K4" s="12">
        <f>$J4-$G4</f>
        <v>383340100.54970479</v>
      </c>
    </row>
    <row r="5" spans="1:11" x14ac:dyDescent="0.2">
      <c r="A5" s="15">
        <v>2022</v>
      </c>
      <c r="B5" s="16">
        <v>9.0899999999999995E-2</v>
      </c>
      <c r="C5" s="11">
        <f t="shared" si="0"/>
        <v>10096.423834729309</v>
      </c>
      <c r="D5" s="17">
        <f t="shared" ref="D5:D7" si="1">($C5-$C4)/$C4</f>
        <v>8.5301457955084828E-2</v>
      </c>
      <c r="E5" s="16">
        <f t="shared" ref="E5:E8" si="2">1-(1-$B5)/(1+$D5)</f>
        <v>0.16235254883659878</v>
      </c>
      <c r="F5" s="9">
        <f>(0.000167386)*J12</f>
        <v>167386</v>
      </c>
      <c r="G5" s="18">
        <f>(1.69)*J12</f>
        <v>1690000000</v>
      </c>
      <c r="H5" s="9">
        <f t="shared" ref="H5:H8" si="3">$F5/(1-$E5)</f>
        <v>199828.69853841141</v>
      </c>
      <c r="I5" s="10">
        <f t="shared" ref="I5:I8" si="4">H5-F5</f>
        <v>32442.698538411409</v>
      </c>
      <c r="J5" s="11">
        <f t="shared" ref="J5:J8" si="5">$H5*$C5</f>
        <v>2017555234.7861547</v>
      </c>
      <c r="K5" s="12">
        <f t="shared" ref="K5:K8" si="6">$J5-$G5</f>
        <v>327555234.78615475</v>
      </c>
    </row>
    <row r="6" spans="1:11" x14ac:dyDescent="0.2">
      <c r="A6" s="15">
        <v>2023</v>
      </c>
      <c r="B6" s="16">
        <v>3.7499999999999999E-2</v>
      </c>
      <c r="C6" s="11">
        <f t="shared" si="0"/>
        <v>10351.502503766622</v>
      </c>
      <c r="D6" s="17">
        <f t="shared" si="1"/>
        <v>2.526425922809452E-2</v>
      </c>
      <c r="E6" s="16">
        <f t="shared" si="2"/>
        <v>6.1217640879580371E-2</v>
      </c>
      <c r="F6" s="9">
        <f>(0.000205091)*J12</f>
        <v>205091</v>
      </c>
      <c r="G6" s="18">
        <f>(2.123)*J12</f>
        <v>2123000000.0000002</v>
      </c>
      <c r="H6" s="9">
        <f t="shared" si="3"/>
        <v>218464.90617075234</v>
      </c>
      <c r="I6" s="10">
        <f t="shared" si="4"/>
        <v>13373.906170752336</v>
      </c>
      <c r="J6" s="11">
        <f t="shared" si="5"/>
        <v>2261440023.2116828</v>
      </c>
      <c r="K6" s="12">
        <f t="shared" si="6"/>
        <v>138440023.21168256</v>
      </c>
    </row>
    <row r="7" spans="1:11" x14ac:dyDescent="0.2">
      <c r="A7" s="15">
        <v>2024</v>
      </c>
      <c r="B7" s="16">
        <v>3.85E-2</v>
      </c>
      <c r="C7" s="11">
        <f t="shared" si="0"/>
        <v>10361.4195427101</v>
      </c>
      <c r="D7" s="17">
        <f t="shared" si="1"/>
        <v>9.5802893733252159E-4</v>
      </c>
      <c r="E7" s="16">
        <f t="shared" si="2"/>
        <v>3.942026318448455E-2</v>
      </c>
      <c r="F7" s="9">
        <f>(0.000247939)*J12</f>
        <v>247939.00000000003</v>
      </c>
      <c r="G7" s="18">
        <f>(2.569)*J12</f>
        <v>2569000000</v>
      </c>
      <c r="H7" s="9">
        <f t="shared" si="3"/>
        <v>258113.91860290518</v>
      </c>
      <c r="I7" s="10">
        <f t="shared" si="4"/>
        <v>10174.918602905149</v>
      </c>
      <c r="J7" s="11">
        <f t="shared" si="5"/>
        <v>2674426600.4576259</v>
      </c>
      <c r="K7" s="12">
        <f t="shared" si="6"/>
        <v>105426600.45762587</v>
      </c>
    </row>
    <row r="8" spans="1:11" ht="29.5" customHeight="1" x14ac:dyDescent="0.2">
      <c r="A8" s="19" t="s">
        <v>14</v>
      </c>
      <c r="B8" s="20">
        <v>5.57E-2</v>
      </c>
      <c r="C8" s="21">
        <f t="shared" si="0"/>
        <v>11745.593136135014</v>
      </c>
      <c r="D8" s="22">
        <f>($C8-$C7)/$C7</f>
        <v>0.13358918512268575</v>
      </c>
      <c r="E8" s="20">
        <f t="shared" si="2"/>
        <v>0.16698217273676563</v>
      </c>
      <c r="F8" s="23">
        <f>(0.000275763)*J12</f>
        <v>275763</v>
      </c>
      <c r="G8" s="24">
        <f>(3.239)*J12</f>
        <v>3239000000</v>
      </c>
      <c r="H8" s="23">
        <f t="shared" si="3"/>
        <v>331040.93450914667</v>
      </c>
      <c r="I8" s="25">
        <f t="shared" si="4"/>
        <v>55277.934509146668</v>
      </c>
      <c r="J8" s="21">
        <f t="shared" si="5"/>
        <v>3888272128.1503539</v>
      </c>
      <c r="K8" s="29">
        <f t="shared" si="6"/>
        <v>649272128.15035391</v>
      </c>
    </row>
    <row r="9" spans="1:11" x14ac:dyDescent="0.2">
      <c r="D9" s="3"/>
    </row>
    <row r="11" spans="1:11" x14ac:dyDescent="0.2">
      <c r="E11" s="1" t="s">
        <v>16</v>
      </c>
      <c r="J11" s="5" t="s">
        <v>10</v>
      </c>
    </row>
    <row r="12" spans="1:11" x14ac:dyDescent="0.2">
      <c r="E12" s="2" t="s">
        <v>6</v>
      </c>
      <c r="J12" s="4">
        <v>1000000000</v>
      </c>
    </row>
  </sheetData>
  <mergeCells count="1">
    <mergeCell ref="A1:K1"/>
  </mergeCells>
  <hyperlinks>
    <hyperlink ref="E12" r:id="rId1" xr:uid="{0705B525-2CBA-434B-86A9-3820C5F5C0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Beck</dc:creator>
  <cp:lastModifiedBy>Jon Beck</cp:lastModifiedBy>
  <dcterms:created xsi:type="dcterms:W3CDTF">2025-11-07T01:20:23Z</dcterms:created>
  <dcterms:modified xsi:type="dcterms:W3CDTF">2025-11-07T07:15:16Z</dcterms:modified>
</cp:coreProperties>
</file>